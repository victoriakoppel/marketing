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во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₸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F2A37"/>
      <sz val="10"/>
    </font>
    <font>
      <name val="Arial"/>
      <color rgb="005B6B7C"/>
      <sz val="10"/>
    </font>
    <font>
      <name val="Arial"/>
      <b val="1"/>
      <color rgb="000000CC"/>
      <sz val="10"/>
    </font>
    <font>
      <name val="Arial"/>
      <i val="1"/>
      <color rgb="005B6B7C"/>
      <sz val="9"/>
    </font>
    <font>
      <name val="Arial"/>
      <b val="1"/>
      <color rgb="00FFFFFF"/>
      <sz val="11"/>
    </font>
    <font>
      <name val="Arial"/>
      <b val="1"/>
      <color rgb="001F2A37"/>
      <sz val="11"/>
    </font>
    <font>
      <name val="Arial"/>
      <color rgb="001F2A37"/>
      <sz val="11"/>
    </font>
    <font>
      <name val="Arial"/>
      <b val="1"/>
      <color rgb="000F6E4F"/>
      <sz val="11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E0"/>
      </patternFill>
    </fill>
    <fill>
      <patternFill patternType="solid">
        <fgColor rgb="00FBE4E4"/>
      </patternFill>
    </fill>
    <fill>
      <patternFill patternType="solid">
        <fgColor rgb="00EAF1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D8EE"/>
      </left>
      <right style="thin">
        <color rgb="00C7D8EE"/>
      </right>
      <top style="thin">
        <color rgb="00C7D8EE"/>
      </top>
      <bottom style="thin">
        <color rgb="00C7D8E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indent="1"/>
    </xf>
    <xf numFmtId="0" fontId="7" fillId="2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center"/>
    </xf>
    <xf numFmtId="164" fontId="10" fillId="5" borderId="1" pivotButton="0" quotePrefix="0" xfId="0"/>
    <xf numFmtId="0" fontId="8" fillId="6" borderId="1" pivotButton="0" quotePrefix="0" xfId="0"/>
    <xf numFmtId="0" fontId="9" fillId="6" borderId="1" applyAlignment="1" pivotButton="0" quotePrefix="0" xfId="0">
      <alignment horizontal="center"/>
    </xf>
    <xf numFmtId="164" fontId="10" fillId="6" borderId="1" pivotButton="0" quotePrefix="0" xfId="0"/>
    <xf numFmtId="0" fontId="11" fillId="2" borderId="1" pivotButton="0" quotePrefix="0" xfId="0"/>
    <xf numFmtId="0" fontId="11" fillId="2" borderId="1" applyAlignment="1" pivotButton="0" quotePrefix="0" xfId="0">
      <alignment horizontal="center"/>
    </xf>
    <xf numFmtId="164" fontId="1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3" customWidth="1" min="4" max="4"/>
    <col width="30" customWidth="1" min="5" max="5"/>
    <col width="32" customWidth="1" min="6" max="6"/>
    <col width="15" customWidth="1" min="7" max="7"/>
    <col width="10" customWidth="1" min="8" max="8"/>
    <col width="10" customWidth="1" min="9" max="9"/>
    <col width="11" customWidth="1" min="10" max="10"/>
  </cols>
  <sheetData>
    <row r="1" ht="26" customHeight="1">
      <c r="A1" s="1" t="inlineStr">
        <is>
          <t>Данные — команда маркетинга и ФОТ  ·  редактируйте синие ячейки в столбце «Оклад, ₸»</t>
        </is>
      </c>
    </row>
    <row r="2" ht="30" customHeight="1">
      <c r="A2" s="2" t="inlineStr">
        <is>
          <t>№</t>
        </is>
      </c>
      <c r="B2" s="2" t="inlineStr">
        <is>
          <t>Отдел</t>
        </is>
      </c>
      <c r="C2" s="2" t="inlineStr">
        <is>
          <t>Блок</t>
        </is>
      </c>
      <c r="D2" s="2" t="inlineStr">
        <is>
          <t>Тип</t>
        </is>
      </c>
      <c r="E2" s="2" t="inlineStr">
        <is>
          <t>Позиция (строка 1)</t>
        </is>
      </c>
      <c r="F2" s="2" t="inlineStr">
        <is>
          <t>Подпись (строка 2)</t>
        </is>
      </c>
      <c r="G2" s="2" t="inlineStr">
        <is>
          <t>Оклад, ₸</t>
        </is>
      </c>
      <c r="H2" s="2" t="inlineStr">
        <is>
          <t>Признак</t>
        </is>
      </c>
      <c r="I2" s="2" t="inlineStr">
        <is>
          <t>Вакансия</t>
        </is>
      </c>
      <c r="J2" s="2" t="inlineStr">
        <is>
          <t>Ключ</t>
        </is>
      </c>
    </row>
    <row r="3">
      <c r="A3" s="3" t="n">
        <v>1</v>
      </c>
      <c r="B3" s="4" t="inlineStr">
        <is>
          <t>Marcom</t>
        </is>
      </c>
      <c r="C3" s="5" t="inlineStr">
        <is>
          <t>Руководитель</t>
        </is>
      </c>
      <c r="D3" s="5" t="inlineStr">
        <is>
          <t>Руководитель</t>
        </is>
      </c>
      <c r="E3" s="6" t="inlineStr">
        <is>
          <t>Marcom · Олег С</t>
        </is>
      </c>
      <c r="F3" s="7" t="inlineStr">
        <is>
          <t>Столярчук Олег Валерьевич</t>
        </is>
      </c>
      <c r="G3" s="8" t="n">
        <v>3167500</v>
      </c>
      <c r="H3" s="9" t="inlineStr"/>
      <c r="I3" s="9" t="inlineStr"/>
      <c r="J3" s="5" t="inlineStr">
        <is>
          <t>M_HEAD</t>
        </is>
      </c>
    </row>
    <row r="4">
      <c r="A4" s="3" t="n">
        <v>2</v>
      </c>
      <c r="B4" s="4" t="inlineStr">
        <is>
          <t>Marcom</t>
        </is>
      </c>
      <c r="C4" s="5" t="inlineStr">
        <is>
          <t>Промо / Контент</t>
        </is>
      </c>
      <c r="D4" s="5" t="inlineStr">
        <is>
          <t>Сотрудник</t>
        </is>
      </c>
      <c r="E4" s="6" t="inlineStr">
        <is>
          <t>Senior Promo Original · Аида А</t>
        </is>
      </c>
      <c r="F4" s="7" t="inlineStr">
        <is>
          <t>Әлішбай Аида Шералықызы</t>
        </is>
      </c>
      <c r="G4" s="8" t="n">
        <v>1247076</v>
      </c>
      <c r="H4" s="9" t="inlineStr"/>
      <c r="I4" s="9" t="inlineStr"/>
      <c r="J4" s="5" t="inlineStr">
        <is>
          <t>M_PROMO_1</t>
        </is>
      </c>
    </row>
    <row r="5">
      <c r="A5" s="3" t="n">
        <v>3</v>
      </c>
      <c r="B5" s="4" t="inlineStr">
        <is>
          <t>Marcom</t>
        </is>
      </c>
      <c r="C5" s="5" t="inlineStr">
        <is>
          <t>Промо / Контент</t>
        </is>
      </c>
      <c r="D5" s="5" t="inlineStr">
        <is>
          <t>Сотрудник</t>
        </is>
      </c>
      <c r="E5" s="6" t="inlineStr">
        <is>
          <t>Promo · Александр К</t>
        </is>
      </c>
      <c r="F5" s="7" t="inlineStr">
        <is>
          <t>Казачков Александр</t>
        </is>
      </c>
      <c r="G5" s="8" t="n">
        <v>800000</v>
      </c>
      <c r="H5" s="9" t="inlineStr"/>
      <c r="I5" s="9" t="inlineStr"/>
      <c r="J5" s="5" t="inlineStr">
        <is>
          <t>M_PROMO_2</t>
        </is>
      </c>
    </row>
    <row r="6">
      <c r="A6" s="3" t="n">
        <v>4</v>
      </c>
      <c r="B6" s="4" t="inlineStr">
        <is>
          <t>Marcom</t>
        </is>
      </c>
      <c r="C6" s="5" t="inlineStr">
        <is>
          <t>Промо / Контент</t>
        </is>
      </c>
      <c r="D6" s="5" t="inlineStr">
        <is>
          <t>Сотрудник</t>
        </is>
      </c>
      <c r="E6" s="6" t="inlineStr">
        <is>
          <t>Promo · Райлана</t>
        </is>
      </c>
      <c r="F6" s="7" t="inlineStr">
        <is>
          <t>Жанибекова Райлана Нурлановна</t>
        </is>
      </c>
      <c r="G6" s="8" t="n">
        <v>1000162</v>
      </c>
      <c r="H6" s="9" t="inlineStr"/>
      <c r="I6" s="9" t="inlineStr"/>
      <c r="J6" s="5" t="inlineStr">
        <is>
          <t>M_PROMO_3</t>
        </is>
      </c>
    </row>
    <row r="7">
      <c r="A7" s="3" t="n">
        <v>5</v>
      </c>
      <c r="B7" s="4" t="inlineStr">
        <is>
          <t>Marcom</t>
        </is>
      </c>
      <c r="C7" s="5" t="inlineStr">
        <is>
          <t>Промо / Контент</t>
        </is>
      </c>
      <c r="D7" s="5" t="inlineStr">
        <is>
          <t>Сотрудник</t>
        </is>
      </c>
      <c r="E7" s="6" t="inlineStr">
        <is>
          <t>Promo · Яков</t>
        </is>
      </c>
      <c r="F7" s="7" t="inlineStr">
        <is>
          <t>Сорокин Яков Андреевич</t>
        </is>
      </c>
      <c r="G7" s="8" t="n">
        <v>614931</v>
      </c>
      <c r="H7" s="9" t="inlineStr"/>
      <c r="I7" s="9" t="inlineStr"/>
      <c r="J7" s="5" t="inlineStr">
        <is>
          <t>M_PROMO_4</t>
        </is>
      </c>
    </row>
    <row r="8">
      <c r="A8" s="3" t="n">
        <v>6</v>
      </c>
      <c r="B8" s="4" t="inlineStr">
        <is>
          <t>Marcom</t>
        </is>
      </c>
      <c r="C8" s="5" t="inlineStr">
        <is>
          <t>Промо / Контент</t>
        </is>
      </c>
      <c r="D8" s="5" t="inlineStr">
        <is>
          <t>Сотрудник</t>
        </is>
      </c>
      <c r="E8" s="6" t="inlineStr">
        <is>
          <t>Promo · Чолпон</t>
        </is>
      </c>
      <c r="F8" s="7" t="inlineStr">
        <is>
          <t>Эркинова Чолпон</t>
        </is>
      </c>
      <c r="G8" s="8" t="n">
        <v>1025642</v>
      </c>
      <c r="H8" s="9" t="inlineStr"/>
      <c r="I8" s="9" t="inlineStr"/>
      <c r="J8" s="5" t="inlineStr">
        <is>
          <t>M_PROMO_5</t>
        </is>
      </c>
    </row>
    <row r="9">
      <c r="A9" s="3" t="n">
        <v>7</v>
      </c>
      <c r="B9" s="4" t="inlineStr">
        <is>
          <t>Marcom</t>
        </is>
      </c>
      <c r="C9" s="5" t="inlineStr">
        <is>
          <t>Промо / Контент</t>
        </is>
      </c>
      <c r="D9" s="5" t="inlineStr">
        <is>
          <t>Сотрудник</t>
        </is>
      </c>
      <c r="E9" s="6" t="inlineStr">
        <is>
          <t>Promo · Аяулым</t>
        </is>
      </c>
      <c r="F9" s="7" t="inlineStr">
        <is>
          <t>Иманбаева Аяулым Маратовна</t>
        </is>
      </c>
      <c r="G9" s="8" t="n">
        <v>1000162</v>
      </c>
      <c r="H9" s="9" t="inlineStr"/>
      <c r="I9" s="9" t="inlineStr"/>
      <c r="J9" s="5" t="inlineStr">
        <is>
          <t>M_PROMO_6</t>
        </is>
      </c>
    </row>
    <row r="10">
      <c r="A10" s="3" t="n">
        <v>8</v>
      </c>
      <c r="B10" s="4" t="inlineStr">
        <is>
          <t>Marcom</t>
        </is>
      </c>
      <c r="C10" s="5" t="inlineStr">
        <is>
          <t>SMM</t>
        </is>
      </c>
      <c r="D10" s="5" t="inlineStr">
        <is>
          <t>Сотрудник</t>
        </is>
      </c>
      <c r="E10" s="6" t="inlineStr">
        <is>
          <t>Head of SMM · Мария</t>
        </is>
      </c>
      <c r="F10" s="7" t="inlineStr">
        <is>
          <t>Коренькова Мария Николаевна</t>
        </is>
      </c>
      <c r="G10" s="8" t="n">
        <v>1625032</v>
      </c>
      <c r="H10" s="9" t="inlineStr"/>
      <c r="I10" s="9" t="inlineStr"/>
      <c r="J10" s="5" t="inlineStr">
        <is>
          <t>M_SMM_1</t>
        </is>
      </c>
    </row>
    <row r="11">
      <c r="A11" s="3" t="n">
        <v>9</v>
      </c>
      <c r="B11" s="4" t="inlineStr">
        <is>
          <t>Marcom</t>
        </is>
      </c>
      <c r="C11" s="5" t="inlineStr">
        <is>
          <t>SMM</t>
        </is>
      </c>
      <c r="D11" s="5" t="inlineStr">
        <is>
          <t>Сотрудник</t>
        </is>
      </c>
      <c r="E11" s="6" t="inlineStr">
        <is>
          <t>SMM Gen</t>
        </is>
      </c>
      <c r="F11" s="7" t="inlineStr">
        <is>
          <t>Жандильдина Сабина Канатовна</t>
        </is>
      </c>
      <c r="G11" s="8" t="n">
        <v>814000</v>
      </c>
      <c r="H11" s="9" t="inlineStr"/>
      <c r="I11" s="9" t="inlineStr"/>
      <c r="J11" s="5" t="inlineStr">
        <is>
          <t>M_SMM_3</t>
        </is>
      </c>
    </row>
    <row r="12">
      <c r="A12" s="3" t="n">
        <v>10</v>
      </c>
      <c r="B12" s="4" t="inlineStr">
        <is>
          <t>Marcom</t>
        </is>
      </c>
      <c r="C12" s="5" t="inlineStr">
        <is>
          <t>SMM</t>
        </is>
      </c>
      <c r="D12" s="5" t="inlineStr">
        <is>
          <t>Сотрудник</t>
        </is>
      </c>
      <c r="E12" s="6" t="inlineStr">
        <is>
          <t>SMM Sport</t>
        </is>
      </c>
      <c r="F12" s="7" t="inlineStr">
        <is>
          <t>Шакрат Темірлан Талғатұлы</t>
        </is>
      </c>
      <c r="G12" s="10" t="n">
        <v>867456</v>
      </c>
      <c r="H12" s="9" t="inlineStr">
        <is>
          <t>макс.</t>
        </is>
      </c>
      <c r="I12" s="9" t="inlineStr"/>
      <c r="J12" s="5" t="inlineStr">
        <is>
          <t>M_SMM_4</t>
        </is>
      </c>
    </row>
    <row r="13">
      <c r="A13" s="3" t="n">
        <v>11</v>
      </c>
      <c r="B13" s="4" t="inlineStr">
        <is>
          <t>Marcom</t>
        </is>
      </c>
      <c r="C13" s="5" t="inlineStr">
        <is>
          <t>SMM</t>
        </is>
      </c>
      <c r="D13" s="5" t="inlineStr">
        <is>
          <t>Сотрудник</t>
        </is>
      </c>
      <c r="E13" s="6" t="inlineStr">
        <is>
          <t>Telegram редактор Sport</t>
        </is>
      </c>
      <c r="F13" s="7" t="inlineStr">
        <is>
          <t>Куричев Иван Николаевич</t>
        </is>
      </c>
      <c r="G13" s="8" t="n">
        <v>513920</v>
      </c>
      <c r="H13" s="9" t="inlineStr"/>
      <c r="I13" s="9" t="inlineStr"/>
      <c r="J13" s="5" t="inlineStr">
        <is>
          <t>M_SMM_6</t>
        </is>
      </c>
    </row>
    <row r="14">
      <c r="A14" s="3" t="n">
        <v>12</v>
      </c>
      <c r="B14" s="4" t="inlineStr">
        <is>
          <t>Marcom</t>
        </is>
      </c>
      <c r="C14" s="5" t="inlineStr">
        <is>
          <t>PR</t>
        </is>
      </c>
      <c r="D14" s="5" t="inlineStr">
        <is>
          <t>Сотрудник</t>
        </is>
      </c>
      <c r="E14" s="6" t="inlineStr">
        <is>
          <t>Pr manager · Аружан</t>
        </is>
      </c>
      <c r="F14" s="7" t="inlineStr">
        <is>
          <t>PR менеджер</t>
        </is>
      </c>
      <c r="G14" s="8" t="n">
        <v>1212314</v>
      </c>
      <c r="H14" s="9" t="inlineStr"/>
      <c r="I14" s="9" t="inlineStr"/>
      <c r="J14" s="5" t="inlineStr">
        <is>
          <t>M_PR_1</t>
        </is>
      </c>
    </row>
    <row r="15">
      <c r="A15" s="3" t="n">
        <v>13</v>
      </c>
      <c r="B15" s="4" t="inlineStr">
        <is>
          <t>Каналы коммуникации</t>
        </is>
      </c>
      <c r="C15" s="5" t="inlineStr">
        <is>
          <t>Руководитель</t>
        </is>
      </c>
      <c r="D15" s="5" t="inlineStr">
        <is>
          <t>Руководитель</t>
        </is>
      </c>
      <c r="E15" s="6" t="inlineStr">
        <is>
          <t>Head · Эдуард Д</t>
        </is>
      </c>
      <c r="F15" s="7" t="inlineStr">
        <is>
          <t>Head каналы коммуникации</t>
        </is>
      </c>
      <c r="G15" s="8" t="n">
        <v>2260000</v>
      </c>
      <c r="H15" s="9" t="inlineStr"/>
      <c r="I15" s="9" t="inlineStr"/>
      <c r="J15" s="5" t="inlineStr">
        <is>
          <t>K_HEAD</t>
        </is>
      </c>
    </row>
    <row r="16">
      <c r="A16" s="3" t="n">
        <v>14</v>
      </c>
      <c r="B16" s="4" t="inlineStr">
        <is>
          <t>Каналы коммуникации</t>
        </is>
      </c>
      <c r="C16" s="5" t="inlineStr">
        <is>
          <t>—</t>
        </is>
      </c>
      <c r="D16" s="5" t="inlineStr">
        <is>
          <t>Сотрудник</t>
        </is>
      </c>
      <c r="E16" s="6" t="inlineStr">
        <is>
          <t>Senior PPC · Антон Б</t>
        </is>
      </c>
      <c r="F16" s="7" t="inlineStr">
        <is>
          <t>Senior PPC</t>
        </is>
      </c>
      <c r="G16" s="8" t="n">
        <v>1346342</v>
      </c>
      <c r="H16" s="9" t="inlineStr"/>
      <c r="I16" s="9" t="inlineStr"/>
      <c r="J16" s="5" t="inlineStr">
        <is>
          <t>K_1</t>
        </is>
      </c>
    </row>
    <row r="17">
      <c r="A17" s="3" t="n">
        <v>15</v>
      </c>
      <c r="B17" s="4" t="inlineStr">
        <is>
          <t>Каналы коммуникации</t>
        </is>
      </c>
      <c r="C17" s="5" t="inlineStr">
        <is>
          <t>—</t>
        </is>
      </c>
      <c r="D17" s="5" t="inlineStr">
        <is>
          <t>Сотрудник</t>
        </is>
      </c>
      <c r="E17" s="6" t="inlineStr">
        <is>
          <t>Media manager · Халмурад</t>
        </is>
      </c>
      <c r="F17" s="7" t="inlineStr">
        <is>
          <t>Медиа менеджер</t>
        </is>
      </c>
      <c r="G17" s="8" t="n">
        <v>1056850</v>
      </c>
      <c r="H17" s="9" t="inlineStr"/>
      <c r="I17" s="9" t="inlineStr"/>
      <c r="J17" s="5" t="inlineStr">
        <is>
          <t>K_2</t>
        </is>
      </c>
    </row>
    <row r="18">
      <c r="A18" s="3" t="n">
        <v>16</v>
      </c>
      <c r="B18" s="4" t="inlineStr">
        <is>
          <t>Каналы коммуникации</t>
        </is>
      </c>
      <c r="C18" s="5" t="inlineStr">
        <is>
          <t>—</t>
        </is>
      </c>
      <c r="D18" s="5" t="inlineStr">
        <is>
          <t>Сотрудник</t>
        </is>
      </c>
      <c r="E18" s="6" t="inlineStr">
        <is>
          <t>Внут. маркетинг · Аида Е</t>
        </is>
      </c>
      <c r="F18" s="7" t="inlineStr">
        <is>
          <t>Внутренний маркетинг</t>
        </is>
      </c>
      <c r="G18" s="8" t="n">
        <v>1058434</v>
      </c>
      <c r="H18" s="9" t="inlineStr"/>
      <c r="I18" s="9" t="inlineStr"/>
      <c r="J18" s="5" t="inlineStr">
        <is>
          <t>K_3</t>
        </is>
      </c>
    </row>
    <row r="19">
      <c r="A19" s="3" t="n">
        <v>17</v>
      </c>
      <c r="B19" s="4" t="inlineStr">
        <is>
          <t>Каналы коммуникации</t>
        </is>
      </c>
      <c r="C19" s="5" t="inlineStr">
        <is>
          <t>—</t>
        </is>
      </c>
      <c r="D19" s="5" t="inlineStr">
        <is>
          <t>Сотрудник</t>
        </is>
      </c>
      <c r="E19" s="6" t="inlineStr">
        <is>
          <t>PPC (1)</t>
        </is>
      </c>
      <c r="F19" s="7" t="inlineStr">
        <is>
          <t>Трафик менеджер · имя н/д</t>
        </is>
      </c>
      <c r="G19" s="10" t="n">
        <v>1124000</v>
      </c>
      <c r="H19" s="9" t="inlineStr">
        <is>
          <t>макс.</t>
        </is>
      </c>
      <c r="I19" s="9" t="inlineStr"/>
      <c r="J19" s="5" t="inlineStr">
        <is>
          <t>K_4</t>
        </is>
      </c>
    </row>
    <row r="20">
      <c r="A20" s="11" t="n">
        <v>18</v>
      </c>
      <c r="B20" s="12" t="inlineStr">
        <is>
          <t>Каналы коммуникации</t>
        </is>
      </c>
      <c r="C20" s="13" t="inlineStr">
        <is>
          <t>—</t>
        </is>
      </c>
      <c r="D20" s="13" t="inlineStr">
        <is>
          <t>Сотрудник</t>
        </is>
      </c>
      <c r="E20" s="14" t="inlineStr">
        <is>
          <t>CVM (?)</t>
        </is>
      </c>
      <c r="F20" s="15" t="inlineStr">
        <is>
          <t>CRM менеджер · планируется</t>
        </is>
      </c>
      <c r="G20" s="16" t="n">
        <v>867456</v>
      </c>
      <c r="H20" s="17" t="inlineStr">
        <is>
          <t>макс.</t>
        </is>
      </c>
      <c r="I20" s="17" t="inlineStr">
        <is>
          <t>да</t>
        </is>
      </c>
      <c r="J20" s="13" t="inlineStr">
        <is>
          <t>K_5</t>
        </is>
      </c>
    </row>
    <row r="21">
      <c r="A21" s="3" t="n">
        <v>19</v>
      </c>
      <c r="B21" s="4" t="inlineStr">
        <is>
          <t>Продакшн</t>
        </is>
      </c>
      <c r="C21" s="5" t="inlineStr">
        <is>
          <t>Руководитель</t>
        </is>
      </c>
      <c r="D21" s="5" t="inlineStr">
        <is>
          <t>Руководитель</t>
        </is>
      </c>
      <c r="E21" s="6" t="inlineStr">
        <is>
          <t>Head of creative · Катерина Р</t>
        </is>
      </c>
      <c r="F21" s="7" t="inlineStr">
        <is>
          <t>Креативный директор</t>
        </is>
      </c>
      <c r="G21" s="8" t="n">
        <v>2490895</v>
      </c>
      <c r="H21" s="9" t="inlineStr"/>
      <c r="I21" s="9" t="inlineStr"/>
      <c r="J21" s="5" t="inlineStr">
        <is>
          <t>P_HEAD</t>
        </is>
      </c>
    </row>
    <row r="22">
      <c r="A22" s="3" t="n">
        <v>20</v>
      </c>
      <c r="B22" s="4" t="inlineStr">
        <is>
          <t>Продакшн</t>
        </is>
      </c>
      <c r="C22" s="5" t="inlineStr">
        <is>
          <t>Арт</t>
        </is>
      </c>
      <c r="D22" s="5" t="inlineStr">
        <is>
          <t>Суб-лид</t>
        </is>
      </c>
      <c r="E22" s="6" t="inlineStr">
        <is>
          <t>Senior art · Олег Н</t>
        </is>
      </c>
      <c r="F22" s="7" t="inlineStr">
        <is>
          <t>Назаренко Олег Станиславович</t>
        </is>
      </c>
      <c r="G22" s="8" t="n">
        <v>1494981</v>
      </c>
      <c r="H22" s="9" t="inlineStr"/>
      <c r="I22" s="9" t="inlineStr"/>
      <c r="J22" s="5" t="inlineStr">
        <is>
          <t>P_ART</t>
        </is>
      </c>
    </row>
    <row r="23">
      <c r="A23" s="3" t="n">
        <v>21</v>
      </c>
      <c r="B23" s="4" t="inlineStr">
        <is>
          <t>Продакшн</t>
        </is>
      </c>
      <c r="C23" s="5" t="inlineStr">
        <is>
          <t>Продакшн</t>
        </is>
      </c>
      <c r="D23" s="5" t="inlineStr">
        <is>
          <t>Суб-лид</t>
        </is>
      </c>
      <c r="E23" s="6" t="inlineStr">
        <is>
          <t>Senior production · Александр Е</t>
        </is>
      </c>
      <c r="F23" s="7" t="inlineStr">
        <is>
          <t>Александр Е</t>
        </is>
      </c>
      <c r="G23" s="8" t="n">
        <v>1291685</v>
      </c>
      <c r="H23" s="9" t="inlineStr"/>
      <c r="I23" s="9" t="inlineStr"/>
      <c r="J23" s="5" t="inlineStr">
        <is>
          <t>P_PROD</t>
        </is>
      </c>
    </row>
    <row r="24">
      <c r="A24" s="3" t="n">
        <v>22</v>
      </c>
      <c r="B24" s="4" t="inlineStr">
        <is>
          <t>Продакшн</t>
        </is>
      </c>
      <c r="C24" s="5" t="inlineStr">
        <is>
          <t>Арт</t>
        </is>
      </c>
      <c r="D24" s="5" t="inlineStr">
        <is>
          <t>Сотрудник</t>
        </is>
      </c>
      <c r="E24" s="6" t="inlineStr">
        <is>
          <t>Graph</t>
        </is>
      </c>
      <c r="F24" s="7" t="inlineStr">
        <is>
          <t>Ахметова Раушан Нұрланқызы</t>
        </is>
      </c>
      <c r="G24" s="8" t="n">
        <v>815000</v>
      </c>
      <c r="H24" s="9" t="inlineStr"/>
      <c r="I24" s="9" t="inlineStr"/>
      <c r="J24" s="5" t="inlineStr">
        <is>
          <t>P_ART_1</t>
        </is>
      </c>
    </row>
    <row r="25">
      <c r="A25" s="3" t="n">
        <v>23</v>
      </c>
      <c r="B25" s="4" t="inlineStr">
        <is>
          <t>Продакшн</t>
        </is>
      </c>
      <c r="C25" s="5" t="inlineStr">
        <is>
          <t>Арт</t>
        </is>
      </c>
      <c r="D25" s="5" t="inlineStr">
        <is>
          <t>Сотрудник</t>
        </is>
      </c>
      <c r="E25" s="6" t="inlineStr">
        <is>
          <t>Graph</t>
        </is>
      </c>
      <c r="F25" s="7" t="inlineStr">
        <is>
          <t>Ли Яна Вячеславовна</t>
        </is>
      </c>
      <c r="G25" s="10" t="n">
        <v>940000</v>
      </c>
      <c r="H25" s="9" t="inlineStr">
        <is>
          <t>макс.</t>
        </is>
      </c>
      <c r="I25" s="9" t="inlineStr"/>
      <c r="J25" s="5" t="inlineStr">
        <is>
          <t>P_ART_2</t>
        </is>
      </c>
    </row>
    <row r="26">
      <c r="A26" s="3" t="n">
        <v>24</v>
      </c>
      <c r="B26" s="4" t="inlineStr">
        <is>
          <t>Продакшн</t>
        </is>
      </c>
      <c r="C26" s="5" t="inlineStr">
        <is>
          <t>Арт</t>
        </is>
      </c>
      <c r="D26" s="5" t="inlineStr">
        <is>
          <t>Сотрудник</t>
        </is>
      </c>
      <c r="E26" s="6" t="inlineStr">
        <is>
          <t>Graph Спорт</t>
        </is>
      </c>
      <c r="F26" s="7" t="inlineStr">
        <is>
          <t>Аркениязов Ильяс Юлдашевич</t>
        </is>
      </c>
      <c r="G26" s="8" t="n">
        <v>678061</v>
      </c>
      <c r="H26" s="9" t="inlineStr"/>
      <c r="I26" s="9" t="inlineStr"/>
      <c r="J26" s="5" t="inlineStr">
        <is>
          <t>P_ART_3</t>
        </is>
      </c>
    </row>
    <row r="27">
      <c r="A27" s="3" t="n">
        <v>25</v>
      </c>
      <c r="B27" s="4" t="inlineStr">
        <is>
          <t>Продакшн</t>
        </is>
      </c>
      <c r="C27" s="5" t="inlineStr">
        <is>
          <t>Арт</t>
        </is>
      </c>
      <c r="D27" s="5" t="inlineStr">
        <is>
          <t>Сотрудник</t>
        </is>
      </c>
      <c r="E27" s="6" t="inlineStr">
        <is>
          <t>Motion</t>
        </is>
      </c>
      <c r="F27" s="7" t="inlineStr">
        <is>
          <t>Мкпо Майкл Жозеф</t>
        </is>
      </c>
      <c r="G27" s="8" t="n">
        <v>877000</v>
      </c>
      <c r="H27" s="9" t="inlineStr"/>
      <c r="I27" s="9" t="inlineStr"/>
      <c r="J27" s="5" t="inlineStr">
        <is>
          <t>P_ART_5</t>
        </is>
      </c>
    </row>
    <row r="28">
      <c r="A28" s="3" t="n">
        <v>26</v>
      </c>
      <c r="B28" s="4" t="inlineStr">
        <is>
          <t>Продакшн</t>
        </is>
      </c>
      <c r="C28" s="5" t="inlineStr">
        <is>
          <t>Продакшн</t>
        </is>
      </c>
      <c r="D28" s="5" t="inlineStr">
        <is>
          <t>Сотрудник</t>
        </is>
      </c>
      <c r="E28" s="6" t="inlineStr">
        <is>
          <t>Мобилограф / монтажёр Sport</t>
        </is>
      </c>
      <c r="F28" s="7" t="inlineStr">
        <is>
          <t>Жанабеков Кудайберген Канатович</t>
        </is>
      </c>
      <c r="G28" s="8" t="n">
        <v>1498769</v>
      </c>
      <c r="H28" s="9" t="inlineStr"/>
      <c r="I28" s="9" t="inlineStr"/>
      <c r="J28" s="5" t="inlineStr">
        <is>
          <t>P_PROD_4</t>
        </is>
      </c>
    </row>
    <row r="29">
      <c r="A29" s="3" t="n">
        <v>27</v>
      </c>
      <c r="B29" s="4" t="inlineStr">
        <is>
          <t>Проджект</t>
        </is>
      </c>
      <c r="C29" s="5" t="inlineStr">
        <is>
          <t>Руководитель</t>
        </is>
      </c>
      <c r="D29" s="5" t="inlineStr">
        <is>
          <t>Руководитель</t>
        </is>
      </c>
      <c r="E29" s="6" t="inlineStr">
        <is>
          <t>Head · Ольга М</t>
        </is>
      </c>
      <c r="F29" s="7" t="inlineStr">
        <is>
          <t>Head project</t>
        </is>
      </c>
      <c r="G29" s="8" t="n">
        <v>1291685</v>
      </c>
      <c r="H29" s="9" t="inlineStr"/>
      <c r="I29" s="9" t="inlineStr"/>
      <c r="J29" s="5" t="inlineStr">
        <is>
          <t>PJ_HEAD</t>
        </is>
      </c>
    </row>
    <row r="30">
      <c r="A30" s="3" t="n">
        <v>28</v>
      </c>
      <c r="B30" s="4" t="inlineStr">
        <is>
          <t>Проджект</t>
        </is>
      </c>
      <c r="C30" s="5" t="inlineStr">
        <is>
          <t>—</t>
        </is>
      </c>
      <c r="D30" s="5" t="inlineStr">
        <is>
          <t>Сотрудник</t>
        </is>
      </c>
      <c r="E30" s="6" t="inlineStr">
        <is>
          <t>Project manager · Аружан С</t>
        </is>
      </c>
      <c r="F30" s="7" t="inlineStr">
        <is>
          <t>Проджект-менеджер</t>
        </is>
      </c>
      <c r="G30" s="8" t="n">
        <v>700000</v>
      </c>
      <c r="H30" s="9" t="inlineStr"/>
      <c r="I30" s="9" t="inlineStr"/>
      <c r="J30" s="5" t="inlineStr">
        <is>
          <t>PJ_1</t>
        </is>
      </c>
    </row>
    <row r="31">
      <c r="A31" s="3" t="n">
        <v>29</v>
      </c>
      <c r="B31" s="4" t="inlineStr">
        <is>
          <t>Проджект</t>
        </is>
      </c>
      <c r="C31" s="5" t="inlineStr">
        <is>
          <t>—</t>
        </is>
      </c>
      <c r="D31" s="5" t="inlineStr">
        <is>
          <t>Сотрудник</t>
        </is>
      </c>
      <c r="E31" s="6" t="inlineStr">
        <is>
          <t>Project manager · Анель</t>
        </is>
      </c>
      <c r="F31" s="7" t="inlineStr">
        <is>
          <t>Муханова Анель Султановна</t>
        </is>
      </c>
      <c r="G31" s="8" t="n">
        <v>741192</v>
      </c>
      <c r="H31" s="9" t="inlineStr"/>
      <c r="I31" s="9" t="inlineStr"/>
      <c r="J31" s="5" t="inlineStr">
        <is>
          <t>PJ_2</t>
        </is>
      </c>
    </row>
    <row r="32">
      <c r="A32" s="3" t="n">
        <v>30</v>
      </c>
      <c r="B32" s="4" t="inlineStr">
        <is>
          <t>Проджект</t>
        </is>
      </c>
      <c r="C32" s="5" t="inlineStr">
        <is>
          <t>—</t>
        </is>
      </c>
      <c r="D32" s="5" t="inlineStr">
        <is>
          <t>Сотрудник</t>
        </is>
      </c>
      <c r="E32" s="6" t="inlineStr">
        <is>
          <t>Спецпроекты · Марина</t>
        </is>
      </c>
      <c r="F32" s="7" t="inlineStr">
        <is>
          <t>Гяурова Марина Якубовна</t>
        </is>
      </c>
      <c r="G32" s="8" t="n">
        <v>1000162</v>
      </c>
      <c r="H32" s="9" t="inlineStr"/>
      <c r="I32" s="9" t="inlineStr"/>
      <c r="J32" s="5" t="inlineStr">
        <is>
          <t>PJ_3</t>
        </is>
      </c>
    </row>
    <row r="33">
      <c r="A33" s="3" t="n">
        <v>31</v>
      </c>
      <c r="B33" s="4" t="inlineStr">
        <is>
          <t>Проджект</t>
        </is>
      </c>
      <c r="C33" s="5" t="inlineStr">
        <is>
          <t>—</t>
        </is>
      </c>
      <c r="D33" s="5" t="inlineStr">
        <is>
          <t>Сотрудник</t>
        </is>
      </c>
      <c r="E33" s="6" t="inlineStr">
        <is>
          <t>B2B и продакшн · Олеся М</t>
        </is>
      </c>
      <c r="F33" s="7" t="inlineStr">
        <is>
          <t>B2B и продакшн</t>
        </is>
      </c>
      <c r="G33" s="8" t="n">
        <v>1081000</v>
      </c>
      <c r="H33" s="9" t="inlineStr"/>
      <c r="I33" s="9" t="inlineStr"/>
      <c r="J33" s="5" t="inlineStr">
        <is>
          <t>PJ_4</t>
        </is>
      </c>
    </row>
    <row r="35" ht="30" customHeight="1">
      <c r="A35" s="18" t="inlineStr">
        <is>
          <t>Синие ячейки в «Оклад, ₸» — редактируемые. «Признак: макс.» — имя на позиции не определено, подставлена максимальная стоимость по позиции. «Вакансия: да» — планируемая позиция. Итоги считаются на листе «Свод».</t>
        </is>
      </c>
    </row>
  </sheetData>
  <mergeCells count="2">
    <mergeCell ref="A1:J1"/>
    <mergeCell ref="A35:J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</cols>
  <sheetData>
    <row r="1" ht="26" customHeight="1">
      <c r="A1" s="19" t="inlineStr">
        <is>
          <t>Свод по отделам — численность и ФОТ (пересчитывается автоматически)</t>
        </is>
      </c>
    </row>
    <row r="2" ht="28" customHeight="1">
      <c r="A2" s="20" t="inlineStr">
        <is>
          <t>Отдел</t>
        </is>
      </c>
      <c r="B2" s="20" t="inlineStr">
        <is>
          <t>Численность, чел.</t>
        </is>
      </c>
      <c r="C2" s="20" t="inlineStr">
        <is>
          <t>ФОТ, ₸ / мес</t>
        </is>
      </c>
    </row>
    <row r="3">
      <c r="A3" s="21" t="inlineStr">
        <is>
          <t>Marcom</t>
        </is>
      </c>
      <c r="B3" s="22">
        <f>COUNTIF(Данные!$B$3:$B$33,A3)</f>
        <v/>
      </c>
      <c r="C3" s="23">
        <f>SUMIF(Данные!$B$3:$B$33,A3,Данные!$G$3:$G$33)</f>
        <v/>
      </c>
    </row>
    <row r="4">
      <c r="A4" s="24" t="inlineStr">
        <is>
          <t>Каналы коммуникации</t>
        </is>
      </c>
      <c r="B4" s="25">
        <f>COUNTIF(Данные!$B$3:$B$33,A4)</f>
        <v/>
      </c>
      <c r="C4" s="26">
        <f>SUMIF(Данные!$B$3:$B$33,A4,Данные!$G$3:$G$33)</f>
        <v/>
      </c>
    </row>
    <row r="5">
      <c r="A5" s="21" t="inlineStr">
        <is>
          <t>Продакшн</t>
        </is>
      </c>
      <c r="B5" s="22">
        <f>COUNTIF(Данные!$B$3:$B$33,A5)</f>
        <v/>
      </c>
      <c r="C5" s="23">
        <f>SUMIF(Данные!$B$3:$B$33,A5,Данные!$G$3:$G$33)</f>
        <v/>
      </c>
    </row>
    <row r="6">
      <c r="A6" s="24" t="inlineStr">
        <is>
          <t>Проджект</t>
        </is>
      </c>
      <c r="B6" s="25">
        <f>COUNTIF(Данные!$B$3:$B$33,A6)</f>
        <v/>
      </c>
      <c r="C6" s="26">
        <f>SUMIF(Данные!$B$3:$B$33,A6,Данные!$G$3:$G$33)</f>
        <v/>
      </c>
    </row>
    <row r="7">
      <c r="A7" s="27" t="inlineStr">
        <is>
          <t>Итого</t>
        </is>
      </c>
      <c r="B7" s="28">
        <f>SUM(B3:B6)</f>
        <v/>
      </c>
      <c r="C7" s="29">
        <f>SUM(C3:C6)</f>
        <v/>
      </c>
    </row>
    <row r="9" ht="42" customHeight="1">
      <c r="A9" s="18" t="inlineStr">
        <is>
          <t>Числа берутся с листа «Данные». Измените оклад там — итоги здесь обновятся автоматически. Презентация пересобирается из этого файла (см. build/README).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2026-07-21T13:56:53Z</dcterms:created>
  <dcterms:modified xmlns:dcterms="http://purl.org/dc/terms/" xmlns:xsi="http://www.w3.org/2001/XMLSchema-instance" xsi:type="dcterms:W3CDTF">2026-07-21T13:56:53Z</dcterms:modified>
</cp:coreProperties>
</file>